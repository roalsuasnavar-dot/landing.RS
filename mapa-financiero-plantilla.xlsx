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Financiero" sheetId="1" r:id="rId4"/>
    <sheet state="visible" name="Gráfico" sheetId="2" r:id="rId5"/>
    <sheet state="visible" name="Deudas y Meta de Pago" sheetId="3" r:id="rId6"/>
  </sheets>
  <definedNames/>
  <calcPr/>
</workbook>
</file>

<file path=xl/sharedStrings.xml><?xml version="1.0" encoding="utf-8"?>
<sst xmlns="http://schemas.openxmlformats.org/spreadsheetml/2006/main" count="107" uniqueCount="82">
  <si>
    <t>@rs.finanzas.seguros</t>
  </si>
  <si>
    <t>📊 TU MAPA FINANCIERO — PASO 1: ORDEN Y CLARIDAD</t>
  </si>
  <si>
    <t xml:space="preserve">Mes / Período: </t>
  </si>
  <si>
    <t>Instrucciones:
• Completá únicamente las celdas amarillas con los montos de tu mes.
• Sé realista: diferenciá bien tus Gastos Innegociables (los que sostienen tu estructura) de los Variables y Disfrute.
• Los totales y el Fondo de Oxígeno se calculan solos, no toques esas celdas.</t>
  </si>
  <si>
    <t>1. INGRESOS MENSUALES</t>
  </si>
  <si>
    <t>Concepto</t>
  </si>
  <si>
    <t>Monto Mensual</t>
  </si>
  <si>
    <t>Honorarios / Facturación Base</t>
  </si>
  <si>
    <t>Ingresos Extra / Variables</t>
  </si>
  <si>
    <t>Rentas / Otros</t>
  </si>
  <si>
    <t>TOTAL INGRESOS</t>
  </si>
  <si>
    <t>2. GASTOS INNEGOCIABLES (Tu Estructura Vital)</t>
  </si>
  <si>
    <t>Vivienda (Alquiler / Expensas / Hipoteca)</t>
  </si>
  <si>
    <t>Servicios (Luz, Gas, Internet, Agua)</t>
  </si>
  <si>
    <t>Salud (Prepaga / Farmacia)</t>
  </si>
  <si>
    <t>Educación (Colegios / Facultad)</t>
  </si>
  <si>
    <t>Supermercado (Alimentación Básica)</t>
  </si>
  <si>
    <t>Seguros (Auto / Hogar)</t>
  </si>
  <si>
    <t>Impuestos (Monotributo / IIBB)</t>
  </si>
  <si>
    <t>TOTAL INNEGOCIABLES</t>
  </si>
  <si>
    <t>3. VARIABLES Y DISFRUTE (Crecimiento y Ocio)</t>
  </si>
  <si>
    <t>Salidas y Comidas Afuera</t>
  </si>
  <si>
    <t>Suscripciones (Netflix, Spotify, Apps)</t>
  </si>
  <si>
    <t>Cuidado Personal / Estética</t>
  </si>
  <si>
    <t>Transporte (Nafta / Movilidad / Taxis)</t>
  </si>
  <si>
    <t>Regalos / Extras</t>
  </si>
  <si>
    <t>Gimnasio / Deportes / Hobbies</t>
  </si>
  <si>
    <t>TOTAL VARIABLES</t>
  </si>
  <si>
    <t>4. RESUMEN DE TU MES (La Foto Completa)</t>
  </si>
  <si>
    <t>Ingresos Totales</t>
  </si>
  <si>
    <t>(–) Gastos Innegociables</t>
  </si>
  <si>
    <t>(–) Gastos Variables y Disfrute</t>
  </si>
  <si>
    <t>FLUJO LIBRE (Para Invertir / Ahorrar)</t>
  </si>
  <si>
    <t>5. TU FONDO DE OXÍGENO (El Respaldo para tu Tranquilidad)</t>
  </si>
  <si>
    <t>Cálculo / Resultado</t>
  </si>
  <si>
    <t>Total Gastos Innegociables Mensuales</t>
  </si>
  <si>
    <t>Nivel 1: Transición (3 meses de oxígeno)</t>
  </si>
  <si>
    <t>Nivel 2: Tranquilidad Total (6 meses de oxígeno)</t>
  </si>
  <si>
    <t>¿Cuánto dinero líquido tenés ahorrado HOY?</t>
  </si>
  <si>
    <t>Meses de Oxígeno cubiertos hoy</t>
  </si>
  <si>
    <t>REFERENCIAS</t>
  </si>
  <si>
    <t>Celdas amarillas</t>
  </si>
  <si>
    <t>→ Son los únicos datos que tenés que completar. El resto se calcula automáticamente.</t>
  </si>
  <si>
    <t>📈 VISUALIZÁ TU MES</t>
  </si>
  <si>
    <t>Distribución de tu Ingreso</t>
  </si>
  <si>
    <t>Categoría</t>
  </si>
  <si>
    <t>Monto</t>
  </si>
  <si>
    <t>Gastos Innegociables</t>
  </si>
  <si>
    <t>Gastos Variables y Disfrute</t>
  </si>
  <si>
    <t>Flujo Libre (Ahorro/Inversión)</t>
  </si>
  <si>
    <t>Detalle de Gastos (Innegociables + Variables)</t>
  </si>
  <si>
    <t>💳 DEUDAS: VISIBILIDAD Y META DE PAGO</t>
  </si>
  <si>
    <t>Instrucciones:
• Cargá cada deuda (tarjetas primero, son las de mayor interés). Completá saldo, tasa y pago mínimo.
• En 'Meta de Pago Mensual' definí cuánto vas a destinar cada mes a esa deuda (tiene que ser ≥ al pago mínimo).
• La columna Prioridad ordena automáticamente qué deuda atacar primero (mayor tasa de interés = mayor urgencia).
• Dejá saldo en $0 en las filas que no uses.</t>
  </si>
  <si>
    <t>TUS DEUDAS ACTUALES</t>
  </si>
  <si>
    <t>Deuda</t>
  </si>
  <si>
    <t>Tipo</t>
  </si>
  <si>
    <t>Saldo Actual</t>
  </si>
  <si>
    <t>Tasa Interés
Anual (%)</t>
  </si>
  <si>
    <t>Pago Mínimo
Mensual</t>
  </si>
  <si>
    <t>Meta de Pago
Mensual</t>
  </si>
  <si>
    <t>Prioridad</t>
  </si>
  <si>
    <t>Meses
Estimados</t>
  </si>
  <si>
    <t>Tarjeta de Crédito 1</t>
  </si>
  <si>
    <t>Tarjeta</t>
  </si>
  <si>
    <t>Tarjeta de Crédito 2</t>
  </si>
  <si>
    <t>Tarjeta de Crédito 3</t>
  </si>
  <si>
    <t>Préstamo Personal</t>
  </si>
  <si>
    <t>Préstamo</t>
  </si>
  <si>
    <t>Crédito Prendario / Auto</t>
  </si>
  <si>
    <t>Crédito</t>
  </si>
  <si>
    <t>Otro 1</t>
  </si>
  <si>
    <t>Otro</t>
  </si>
  <si>
    <t>Otro 2</t>
  </si>
  <si>
    <t>TOTAL DEUDAS</t>
  </si>
  <si>
    <t>META GENERAL: LIBRE DE DEUDAS</t>
  </si>
  <si>
    <t>Deuda Total Actual</t>
  </si>
  <si>
    <t>Tu Flujo Libre Mensual (Hoja 1 - Mapa Financiero)</t>
  </si>
  <si>
    <t>Meta de Pago Mensual Total (esta hoja)</t>
  </si>
  <si>
    <t>¿Tu meta de pago está cubierta por tu Flujo Libre?</t>
  </si>
  <si>
    <t>Meses Estimados para quedar Libre de Deudas</t>
  </si>
  <si>
    <t>Fecha Estimada de 'Deuda Cero'</t>
  </si>
  <si>
    <t>💡 Tip: priorizá siempre la deuda con Prioridad 1 (mayor tasa de interés) — ahí es donde más plata perdés cada 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</si>
</sst>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 &quot;#,##0;[RED]&quot;-$ &quot;#,##0;\-"/>
    <numFmt numFmtId="165" formatCode="0.0&quot; meses&quot;"/>
    <numFmt numFmtId="166" formatCode="0\%"/>
    <numFmt numFmtId="167" formatCode="0&quot; meses&quot;"/>
    <numFmt numFmtId="168" formatCode="mmmm\ yyyy"/>
  </numFmts>
  <fonts count="23">
    <font>
      <sz val="11.0"/>
      <color/>
      <name val="Arial"/>
      <scheme val="minor"/>
    </font>
    <font/>
    <font>
      <b/>
      <sz val="14.0"/>
      <color rgb="FFFFFFFF"/>
      <name val="Arial"/>
    </font>
    <font>
      <i/>
      <sz val="10.0"/>
      <color rgb="FF555555"/>
      <name val="Arial"/>
    </font>
    <font>
      <i/>
      <sz val="9.0"/>
      <color rgb="FF444444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sz val="10.0"/>
      <color rgb="FF222222"/>
      <name val="Arial"/>
    </font>
    <font>
      <b/>
      <sz val="10.0"/>
      <color rgb="FF1F2A44"/>
      <name val="Arial"/>
    </font>
    <font>
      <b/>
      <sz val="11.0"/>
      <color rgb="FFFFFFFF"/>
      <name val="Arial"/>
    </font>
    <font>
      <b/>
      <sz val="12.0"/>
      <color rgb="FFFFD700"/>
      <name val="Arial"/>
    </font>
    <font>
      <sz val="11.0"/>
      <color/>
      <name val="Calibri"/>
    </font>
    <font>
      <i/>
      <sz val="9.0"/>
      <color rgb="FF666666"/>
      <name val="Arial"/>
    </font>
    <font>
      <b/>
      <sz val="14.0"/>
      <color rgb="FFFFFFFF"/>
    </font>
    <font>
      <i/>
      <sz val="9.0"/>
      <color rgb="FF444444"/>
    </font>
    <font>
      <b/>
      <sz val="12.0"/>
      <color rgb="FFFFFFFF"/>
    </font>
    <font>
      <b/>
      <sz val="10.0"/>
      <color rgb="FFFFFFFF"/>
    </font>
    <font>
      <sz val="10.0"/>
      <color rgb="FF222222"/>
    </font>
    <font>
      <b/>
      <sz val="10.0"/>
      <color rgb="FF1F2A44"/>
    </font>
    <font>
      <b/>
      <sz val="10.0"/>
      <color rgb="FFC0392B"/>
    </font>
    <font>
      <b/>
      <sz val="11.0"/>
      <color rgb="FFFFFFFF"/>
    </font>
    <font>
      <b/>
      <sz val="11.0"/>
      <color rgb="FFFFD700"/>
    </font>
    <font>
      <i/>
      <sz val="9.0"/>
      <color rgb="FF222222"/>
    </font>
  </fonts>
  <fills count="9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E8F4F3"/>
        <bgColor rgb="FFE8F4F3"/>
      </patternFill>
    </fill>
    <fill>
      <patternFill patternType="solid">
        <fgColor rgb="FF0E7C7B"/>
        <bgColor rgb="FF0E7C7B"/>
      </patternFill>
    </fill>
    <fill>
      <patternFill patternType="solid">
        <fgColor rgb="FF3A3A3A"/>
        <bgColor rgb="FF3A3A3A"/>
      </patternFill>
    </fill>
    <fill>
      <patternFill patternType="solid">
        <fgColor rgb="FFFFF6D9"/>
        <bgColor rgb="FFFFF6D9"/>
      </patternFill>
    </fill>
    <fill>
      <patternFill patternType="solid">
        <fgColor rgb="FFFFFFFF"/>
        <bgColor rgb="FFFFFFFF"/>
      </patternFill>
    </fill>
    <fill>
      <patternFill patternType="solid">
        <fgColor rgb="FFFFD700"/>
        <bgColor rgb="FFFFD700"/>
      </patternFill>
    </fill>
  </fills>
  <borders count="19">
    <border/>
    <border>
      <left/>
      <top/>
      <bottom/>
    </border>
    <border>
      <right/>
      <top/>
      <bottom/>
    </border>
    <border>
      <right style="thin">
        <color rgb="FFD9D9D9"/>
      </right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/>
      <bottom/>
    </border>
    <border>
      <top/>
    </border>
    <border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vertical="bottom" wrapText="0"/>
    </xf>
    <xf borderId="2" fillId="0" fontId="1" numFmtId="0" xfId="0" applyBorder="1" applyFont="1"/>
    <xf borderId="0" fillId="0" fontId="3" numFmtId="0" xfId="0" applyAlignment="1" applyFont="1">
      <alignment shrinkToFit="0" vertical="bottom" wrapText="0"/>
    </xf>
    <xf borderId="3" fillId="0" fontId="1" numFmtId="0" xfId="0" applyBorder="1" applyFont="1"/>
    <xf borderId="4" fillId="3" fontId="4" numFmtId="0" xfId="0" applyAlignment="1" applyBorder="1" applyFill="1" applyFont="1">
      <alignment horizontal="left" shrinkToFit="0" vertical="top" wrapText="1"/>
    </xf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" fillId="4" fontId="5" numFmtId="0" xfId="0" applyAlignment="1" applyBorder="1" applyFill="1" applyFont="1">
      <alignment shrinkToFit="0" vertical="bottom" wrapText="0"/>
    </xf>
    <xf borderId="10" fillId="5" fontId="6" numFmtId="0" xfId="0" applyAlignment="1" applyBorder="1" applyFill="1" applyFont="1">
      <alignment horizontal="center" shrinkToFit="0" vertical="center" wrapText="0"/>
    </xf>
    <xf borderId="11" fillId="0" fontId="7" numFmtId="0" xfId="0" applyAlignment="1" applyBorder="1" applyFont="1">
      <alignment horizontal="left" shrinkToFit="0" vertical="center" wrapText="0"/>
    </xf>
    <xf borderId="11" fillId="6" fontId="8" numFmtId="164" xfId="0" applyAlignment="1" applyBorder="1" applyFill="1" applyFont="1" applyNumberFormat="1">
      <alignment horizontal="right" shrinkToFit="0" vertical="center" wrapText="0"/>
    </xf>
    <xf borderId="11" fillId="2" fontId="9" numFmtId="0" xfId="0" applyAlignment="1" applyBorder="1" applyFont="1">
      <alignment horizontal="left" shrinkToFit="0" vertical="center" wrapText="0"/>
    </xf>
    <xf borderId="11" fillId="2" fontId="9" numFmtId="164" xfId="0" applyAlignment="1" applyBorder="1" applyFont="1" applyNumberFormat="1">
      <alignment horizontal="right" shrinkToFit="0" vertical="center" wrapText="0"/>
    </xf>
    <xf borderId="11" fillId="7" fontId="8" numFmtId="164" xfId="0" applyAlignment="1" applyBorder="1" applyFill="1" applyFont="1" applyNumberFormat="1">
      <alignment horizontal="right" shrinkToFit="0" vertical="center" wrapText="0"/>
    </xf>
    <xf borderId="11" fillId="2" fontId="10" numFmtId="164" xfId="0" applyAlignment="1" applyBorder="1" applyFont="1" applyNumberFormat="1">
      <alignment horizontal="right" shrinkToFit="0" vertical="center" wrapText="0"/>
    </xf>
    <xf borderId="11" fillId="2" fontId="9" numFmtId="165" xfId="0" applyAlignment="1" applyBorder="1" applyFont="1" applyNumberFormat="1">
      <alignment horizontal="right" shrinkToFit="0" vertical="center" wrapText="0"/>
    </xf>
    <xf borderId="11" fillId="6" fontId="11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2" fontId="13" numFmtId="0" xfId="0" applyAlignment="1" applyBorder="1" applyFont="1">
      <alignment shrinkToFit="0" vertical="bottom" wrapText="0"/>
    </xf>
    <xf borderId="12" fillId="0" fontId="1" numFmtId="0" xfId="0" applyBorder="1" applyFont="1"/>
    <xf borderId="4" fillId="3" fontId="14" numFmtId="0" xfId="0" applyAlignment="1" applyBorder="1" applyFont="1">
      <alignment horizontal="left" shrinkToFit="0" vertical="top" wrapText="1"/>
    </xf>
    <xf borderId="13" fillId="0" fontId="1" numFmtId="0" xfId="0" applyBorder="1" applyFont="1"/>
    <xf borderId="14" fillId="0" fontId="1" numFmtId="0" xfId="0" applyBorder="1" applyFont="1"/>
    <xf borderId="1" fillId="4" fontId="15" numFmtId="0" xfId="0" applyAlignment="1" applyBorder="1" applyFont="1">
      <alignment shrinkToFit="0" vertical="bottom" wrapText="0"/>
    </xf>
    <xf borderId="10" fillId="5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left" shrinkToFit="0" vertical="center" wrapText="0"/>
    </xf>
    <xf borderId="11" fillId="0" fontId="17" numFmtId="0" xfId="0" applyAlignment="1" applyBorder="1" applyFont="1">
      <alignment horizontal="center" shrinkToFit="0" vertical="center" wrapText="0"/>
    </xf>
    <xf borderId="11" fillId="6" fontId="18" numFmtId="164" xfId="0" applyAlignment="1" applyBorder="1" applyFont="1" applyNumberFormat="1">
      <alignment horizontal="right" shrinkToFit="0" vertical="center" wrapText="0"/>
    </xf>
    <xf borderId="11" fillId="6" fontId="18" numFmtId="166" xfId="0" applyAlignment="1" applyBorder="1" applyFont="1" applyNumberFormat="1">
      <alignment horizontal="right" shrinkToFit="0" vertical="center" wrapText="0"/>
    </xf>
    <xf borderId="11" fillId="0" fontId="19" numFmtId="0" xfId="0" applyAlignment="1" applyBorder="1" applyFont="1">
      <alignment horizontal="center" shrinkToFit="0" vertical="center" wrapText="0"/>
    </xf>
    <xf borderId="15" fillId="2" fontId="20" numFmtId="0" xfId="0" applyAlignment="1" applyBorder="1" applyFont="1">
      <alignment horizontal="left" shrinkToFit="0" vertical="center" wrapText="0"/>
    </xf>
    <xf borderId="16" fillId="0" fontId="1" numFmtId="0" xfId="0" applyBorder="1" applyFont="1"/>
    <xf borderId="11" fillId="2" fontId="20" numFmtId="164" xfId="0" applyAlignment="1" applyBorder="1" applyFont="1" applyNumberFormat="1">
      <alignment horizontal="right" shrinkToFit="0" vertical="center" wrapText="0"/>
    </xf>
    <xf borderId="11" fillId="2" fontId="20" numFmtId="0" xfId="0" applyAlignment="1" applyBorder="1" applyFont="1">
      <alignment horizontal="right" shrinkToFit="0" vertical="center" wrapText="0"/>
    </xf>
    <xf borderId="15" fillId="0" fontId="17" numFmtId="0" xfId="0" applyAlignment="1" applyBorder="1" applyFont="1">
      <alignment horizontal="left" shrinkToFit="0" vertical="center" wrapText="0"/>
    </xf>
    <xf borderId="17" fillId="0" fontId="1" numFmtId="0" xfId="0" applyBorder="1" applyFont="1"/>
    <xf borderId="15" fillId="7" fontId="18" numFmtId="164" xfId="0" applyAlignment="1" applyBorder="1" applyFont="1" applyNumberFormat="1">
      <alignment horizontal="right" shrinkToFit="0" vertical="center" wrapText="0"/>
    </xf>
    <xf borderId="18" fillId="0" fontId="1" numFmtId="0" xfId="0" applyBorder="1" applyFont="1"/>
    <xf borderId="15" fillId="7" fontId="18" numFmtId="49" xfId="0" applyAlignment="1" applyBorder="1" applyFont="1" applyNumberFormat="1">
      <alignment horizontal="right" shrinkToFit="0" vertical="center" wrapText="0"/>
    </xf>
    <xf borderId="15" fillId="7" fontId="21" numFmtId="167" xfId="0" applyAlignment="1" applyBorder="1" applyFont="1" applyNumberFormat="1">
      <alignment horizontal="right" shrinkToFit="0" vertical="center" wrapText="0"/>
    </xf>
    <xf borderId="15" fillId="7" fontId="21" numFmtId="168" xfId="0" applyAlignment="1" applyBorder="1" applyFont="1" applyNumberFormat="1">
      <alignment horizontal="right" shrinkToFit="0" vertical="center" wrapText="0"/>
    </xf>
    <xf borderId="0" fillId="8" fontId="22" numFmtId="0" xfId="0" applyAlignment="1" applyFill="1" applyFont="1">
      <alignment horizontal="left" shrinkToFit="0" vertical="bottom" wrapText="1"/>
    </xf>
  </cellXfs>
  <cellStyles count="1">
    <cellStyle xfId="0" name="Normal" builtinId="0"/>
  </cellStyles>
  <dxfs count="2">
    <dxf>
      <font>
        <b/>
        <color rgb="FFC0392B"/>
      </font>
      <fill>
        <patternFill patternType="solid">
          <fgColor rgb="FFFDEDEC"/>
          <bgColor rgb="FFFDEDEC"/>
        </patternFill>
      </fill>
      <border/>
    </dxf>
    <dxf>
      <font/>
      <fill>
        <patternFill patternType="solid">
          <fgColor rgb="FFFFF3CD"/>
          <bgColor rgb="FFFFF3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¿En qué se divide tu ingreso?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'Gráfico'!$C$5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'Gráfico'!$B$6:$B$8</c:f>
            </c:strRef>
          </c:cat>
          <c:val>
            <c:numRef>
              <c:f>'Gráfico'!$C$6:$C$8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Detalle de gastos por concepto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Monto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'Gráfico'!$B$13:$B$25</c:f>
            </c:strRef>
          </c:cat>
          <c:val>
            <c:numRef>
              <c:f>'Gráfico'!$C$13:$C$25</c:f>
              <c:numCache/>
            </c:numRef>
          </c:val>
        </c:ser>
        <c:axId val="1034428086"/>
        <c:axId val="1708030389"/>
      </c:barChart>
      <c:catAx>
        <c:axId val="10344280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8030389"/>
      </c:catAx>
      <c:valAx>
        <c:axId val="17080303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4428086"/>
        <c:crosses val="max"/>
      </c:valAx>
    </c:plotArea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4105275" cy="3019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10</xdr:row>
      <xdr:rowOff>0</xdr:rowOff>
    </xdr:from>
    <xdr:ext cx="5476875" cy="5286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1.22" defaultRowHeight="15.0"/>
  <cols>
    <col customWidth="1" min="1" max="1" width="2.33"/>
    <col customWidth="1" min="2" max="2" width="34.22"/>
    <col customWidth="1" min="3" max="3" width="26.44"/>
    <col customWidth="1" min="4" max="4" width="2.33"/>
    <col customWidth="1" min="5" max="5" width="35.78"/>
    <col customWidth="1" min="6" max="11" width="6.78"/>
  </cols>
  <sheetData>
    <row r="1">
      <c r="B1" s="1" t="s">
        <v>0</v>
      </c>
    </row>
    <row r="2" ht="27.75" customHeight="1">
      <c r="B2" s="2" t="s">
        <v>1</v>
      </c>
      <c r="C2" s="3"/>
    </row>
    <row r="3">
      <c r="B3" s="4" t="s">
        <v>2</v>
      </c>
      <c r="C3" s="5"/>
    </row>
    <row r="5" ht="15.0" customHeight="1">
      <c r="B5" s="6" t="s">
        <v>3</v>
      </c>
      <c r="C5" s="7"/>
    </row>
    <row r="6">
      <c r="B6" s="8"/>
      <c r="C6" s="9"/>
    </row>
    <row r="7">
      <c r="B7" s="8"/>
      <c r="C7" s="9"/>
    </row>
    <row r="8">
      <c r="B8" s="10"/>
      <c r="C8" s="11"/>
    </row>
    <row r="10" ht="19.5" customHeight="1">
      <c r="B10" s="12" t="s">
        <v>4</v>
      </c>
      <c r="C10" s="3"/>
    </row>
    <row r="11">
      <c r="B11" s="13" t="s">
        <v>5</v>
      </c>
      <c r="C11" s="13" t="s">
        <v>6</v>
      </c>
    </row>
    <row r="12">
      <c r="B12" s="14" t="s">
        <v>7</v>
      </c>
      <c r="C12" s="15">
        <v>850000.0</v>
      </c>
    </row>
    <row r="13">
      <c r="B13" s="14" t="s">
        <v>8</v>
      </c>
      <c r="C13" s="15">
        <v>0.0</v>
      </c>
    </row>
    <row r="14">
      <c r="B14" s="14" t="s">
        <v>9</v>
      </c>
      <c r="C14" s="15">
        <v>0.0</v>
      </c>
    </row>
    <row r="15">
      <c r="B15" s="16" t="s">
        <v>10</v>
      </c>
      <c r="C15" s="17" t="str">
        <f>SUM(C12:C14)</f>
        <v>$ 850,000</v>
      </c>
    </row>
    <row r="17" ht="19.5" customHeight="1">
      <c r="B17" s="12" t="s">
        <v>11</v>
      </c>
      <c r="C17" s="3"/>
    </row>
    <row r="18">
      <c r="B18" s="13" t="s">
        <v>5</v>
      </c>
      <c r="C18" s="13" t="s">
        <v>6</v>
      </c>
    </row>
    <row r="19">
      <c r="B19" s="14" t="s">
        <v>12</v>
      </c>
      <c r="C19" s="15">
        <v>300000.0</v>
      </c>
    </row>
    <row r="20">
      <c r="B20" s="14" t="s">
        <v>13</v>
      </c>
      <c r="C20" s="15">
        <v>0.0</v>
      </c>
    </row>
    <row r="21" ht="15.75" customHeight="1">
      <c r="B21" s="14" t="s">
        <v>14</v>
      </c>
      <c r="C21" s="15">
        <v>0.0</v>
      </c>
    </row>
    <row r="22" ht="15.75" customHeight="1">
      <c r="B22" s="14" t="s">
        <v>15</v>
      </c>
      <c r="C22" s="15">
        <v>0.0</v>
      </c>
    </row>
    <row r="23" ht="15.75" customHeight="1">
      <c r="B23" s="14" t="s">
        <v>16</v>
      </c>
      <c r="C23" s="15">
        <v>0.0</v>
      </c>
    </row>
    <row r="24" ht="15.75" customHeight="1">
      <c r="B24" s="14" t="s">
        <v>17</v>
      </c>
      <c r="C24" s="15">
        <v>0.0</v>
      </c>
    </row>
    <row r="25" ht="15.75" customHeight="1">
      <c r="B25" s="14" t="s">
        <v>18</v>
      </c>
      <c r="C25" s="15">
        <v>0.0</v>
      </c>
    </row>
    <row r="26" ht="15.75" customHeight="1">
      <c r="B26" s="16" t="s">
        <v>19</v>
      </c>
      <c r="C26" s="17" t="str">
        <f>SUM(C19:C25)</f>
        <v>$ 300,000</v>
      </c>
    </row>
    <row r="27" ht="15.75" customHeight="1"/>
    <row r="28" ht="19.5" customHeight="1">
      <c r="B28" s="12" t="s">
        <v>20</v>
      </c>
      <c r="C28" s="3"/>
    </row>
    <row r="29" ht="15.75" customHeight="1">
      <c r="B29" s="13" t="s">
        <v>5</v>
      </c>
      <c r="C29" s="13" t="s">
        <v>6</v>
      </c>
    </row>
    <row r="30" ht="15.75" customHeight="1">
      <c r="B30" s="14" t="s">
        <v>21</v>
      </c>
      <c r="C30" s="15">
        <v>0.0</v>
      </c>
    </row>
    <row r="31" ht="15.75" customHeight="1">
      <c r="B31" s="14" t="s">
        <v>22</v>
      </c>
      <c r="C31" s="15">
        <v>0.0</v>
      </c>
    </row>
    <row r="32" ht="15.75" customHeight="1">
      <c r="B32" s="14" t="s">
        <v>23</v>
      </c>
      <c r="C32" s="15">
        <v>0.0</v>
      </c>
    </row>
    <row r="33" ht="15.75" customHeight="1">
      <c r="B33" s="14" t="s">
        <v>24</v>
      </c>
      <c r="C33" s="15">
        <v>0.0</v>
      </c>
    </row>
    <row r="34" ht="15.75" customHeight="1">
      <c r="B34" s="14" t="s">
        <v>25</v>
      </c>
      <c r="C34" s="15">
        <v>0.0</v>
      </c>
    </row>
    <row r="35" ht="15.75" customHeight="1">
      <c r="B35" s="14" t="s">
        <v>26</v>
      </c>
      <c r="C35" s="15">
        <v>0.0</v>
      </c>
    </row>
    <row r="36" ht="15.75" customHeight="1">
      <c r="B36" s="16" t="s">
        <v>27</v>
      </c>
      <c r="C36" s="17" t="str">
        <f>SUM(C30:C35)</f>
        <v>-</v>
      </c>
    </row>
    <row r="37" ht="15.75" customHeight="1"/>
    <row r="38" ht="19.5" customHeight="1">
      <c r="B38" s="12" t="s">
        <v>28</v>
      </c>
      <c r="C38" s="3"/>
    </row>
    <row r="39" ht="15.75" customHeight="1">
      <c r="B39" s="13" t="s">
        <v>5</v>
      </c>
      <c r="C39" s="13" t="s">
        <v>6</v>
      </c>
    </row>
    <row r="40" ht="15.75" customHeight="1">
      <c r="B40" s="14" t="s">
        <v>29</v>
      </c>
      <c r="C40" s="18" t="str">
        <f>C15</f>
        <v>$ 850,000</v>
      </c>
    </row>
    <row r="41" ht="15.75" customHeight="1">
      <c r="B41" s="14" t="s">
        <v>30</v>
      </c>
      <c r="C41" s="18" t="str">
        <f>-C26</f>
        <v>-$ 300,000</v>
      </c>
    </row>
    <row r="42" ht="15.75" customHeight="1">
      <c r="B42" s="14" t="s">
        <v>31</v>
      </c>
      <c r="C42" s="18" t="str">
        <f>-C36</f>
        <v>-</v>
      </c>
    </row>
    <row r="43" ht="15.75" customHeight="1">
      <c r="B43" s="16" t="s">
        <v>32</v>
      </c>
      <c r="C43" s="19" t="str">
        <f>C15-C26-C36</f>
        <v>$ 550,000</v>
      </c>
    </row>
    <row r="44" ht="15.75" customHeight="1"/>
    <row r="45" ht="19.5" customHeight="1">
      <c r="B45" s="12" t="s">
        <v>33</v>
      </c>
      <c r="C45" s="3"/>
    </row>
    <row r="46" ht="15.75" customHeight="1">
      <c r="B46" s="13" t="s">
        <v>5</v>
      </c>
      <c r="C46" s="13" t="s">
        <v>34</v>
      </c>
    </row>
    <row r="47" ht="15.75" customHeight="1">
      <c r="B47" s="14" t="s">
        <v>35</v>
      </c>
      <c r="C47" s="18" t="str">
        <f>C26</f>
        <v>$ 300,000</v>
      </c>
    </row>
    <row r="48" ht="15.75" customHeight="1">
      <c r="B48" s="14" t="s">
        <v>36</v>
      </c>
      <c r="C48" s="18" t="str">
        <f>C47*3</f>
        <v>$ 900,000</v>
      </c>
    </row>
    <row r="49" ht="15.75" customHeight="1">
      <c r="B49" s="14" t="s">
        <v>37</v>
      </c>
      <c r="C49" s="18" t="str">
        <f>C47*6</f>
        <v>$ 1,800,000</v>
      </c>
    </row>
    <row r="50" ht="15.75" customHeight="1">
      <c r="B50" s="14" t="s">
        <v>38</v>
      </c>
      <c r="C50" s="15">
        <v>0.0</v>
      </c>
    </row>
    <row r="51" ht="15.75" customHeight="1">
      <c r="B51" s="16" t="s">
        <v>39</v>
      </c>
      <c r="C51" s="20" t="str">
        <f>IF(C47=0,0,C50/C47)</f>
        <v>0.0 meses</v>
      </c>
    </row>
    <row r="52" ht="15.75" customHeight="1"/>
    <row r="53" ht="19.5" customHeight="1">
      <c r="B53" s="12" t="s">
        <v>40</v>
      </c>
      <c r="C53" s="3"/>
    </row>
    <row r="54" ht="15.75" customHeight="1">
      <c r="B54" s="14" t="s">
        <v>41</v>
      </c>
      <c r="C54" s="21"/>
    </row>
    <row r="55" ht="15.75" customHeight="1">
      <c r="B55" s="22" t="s">
        <v>42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B45:C45"/>
    <mergeCell ref="B53:C53"/>
    <mergeCell ref="B55:C55"/>
    <mergeCell ref="B2:C2"/>
    <mergeCell ref="B3:C3"/>
    <mergeCell ref="B5:C8"/>
    <mergeCell ref="B10:C10"/>
    <mergeCell ref="B17:C17"/>
    <mergeCell ref="B28:C28"/>
    <mergeCell ref="B38:C3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.33"/>
    <col customWidth="1" min="2" max="2" width="26.44"/>
    <col customWidth="1" min="3" max="3" width="14.0"/>
    <col customWidth="1" min="4" max="14" width="6.78"/>
  </cols>
  <sheetData>
    <row r="2" ht="25.5" customHeight="1">
      <c r="B2" s="2" t="s">
        <v>43</v>
      </c>
      <c r="C2" s="3"/>
    </row>
    <row r="4">
      <c r="B4" s="12" t="s">
        <v>44</v>
      </c>
      <c r="C4" s="3"/>
    </row>
    <row r="5">
      <c r="B5" s="13" t="s">
        <v>45</v>
      </c>
      <c r="C5" s="13" t="s">
        <v>46</v>
      </c>
    </row>
    <row r="6">
      <c r="B6" s="14" t="s">
        <v>47</v>
      </c>
      <c r="C6" s="18" t="str">
        <f>'Mapa Financiero'!C26</f>
        <v>$ 300,000</v>
      </c>
    </row>
    <row r="7">
      <c r="B7" s="14" t="s">
        <v>48</v>
      </c>
      <c r="C7" s="18" t="str">
        <f>'Mapa Financiero'!C36</f>
        <v>-</v>
      </c>
    </row>
    <row r="8">
      <c r="B8" s="14" t="s">
        <v>49</v>
      </c>
      <c r="C8" s="18" t="str">
        <f>'Mapa Financiero'!C43</f>
        <v>$ 550,000</v>
      </c>
    </row>
    <row r="11">
      <c r="B11" s="12" t="s">
        <v>50</v>
      </c>
      <c r="C11" s="3"/>
    </row>
    <row r="12">
      <c r="B12" s="13" t="s">
        <v>5</v>
      </c>
      <c r="C12" s="13" t="s">
        <v>46</v>
      </c>
    </row>
    <row r="13">
      <c r="B13" s="14" t="s">
        <v>12</v>
      </c>
      <c r="C13" s="18" t="str">
        <f>'Mapa Financiero'!C19</f>
        <v>$ 300,000</v>
      </c>
    </row>
    <row r="14">
      <c r="B14" s="14" t="s">
        <v>13</v>
      </c>
      <c r="C14" s="18" t="str">
        <f>'Mapa Financiero'!C20</f>
        <v>-</v>
      </c>
    </row>
    <row r="15">
      <c r="B15" s="14" t="s">
        <v>14</v>
      </c>
      <c r="C15" s="18" t="str">
        <f>'Mapa Financiero'!C21</f>
        <v>-</v>
      </c>
    </row>
    <row r="16">
      <c r="B16" s="14" t="s">
        <v>15</v>
      </c>
      <c r="C16" s="18" t="str">
        <f>'Mapa Financiero'!C22</f>
        <v>-</v>
      </c>
    </row>
    <row r="17">
      <c r="B17" s="14" t="s">
        <v>16</v>
      </c>
      <c r="C17" s="18" t="str">
        <f>'Mapa Financiero'!C23</f>
        <v>-</v>
      </c>
    </row>
    <row r="18">
      <c r="B18" s="14" t="s">
        <v>17</v>
      </c>
      <c r="C18" s="18" t="str">
        <f>'Mapa Financiero'!C24</f>
        <v>-</v>
      </c>
    </row>
    <row r="19">
      <c r="B19" s="14" t="s">
        <v>18</v>
      </c>
      <c r="C19" s="18" t="str">
        <f>'Mapa Financiero'!C25</f>
        <v>-</v>
      </c>
    </row>
    <row r="20">
      <c r="B20" s="14" t="s">
        <v>21</v>
      </c>
      <c r="C20" s="18" t="str">
        <f>'Mapa Financiero'!C30</f>
        <v>-</v>
      </c>
    </row>
    <row r="21" ht="15.75" customHeight="1">
      <c r="B21" s="14" t="s">
        <v>22</v>
      </c>
      <c r="C21" s="18" t="str">
        <f>'Mapa Financiero'!C31</f>
        <v>-</v>
      </c>
    </row>
    <row r="22" ht="15.75" customHeight="1">
      <c r="B22" s="14" t="s">
        <v>23</v>
      </c>
      <c r="C22" s="18" t="str">
        <f>'Mapa Financiero'!C32</f>
        <v>-</v>
      </c>
    </row>
    <row r="23" ht="15.75" customHeight="1">
      <c r="B23" s="14" t="s">
        <v>24</v>
      </c>
      <c r="C23" s="18" t="str">
        <f>'Mapa Financiero'!C33</f>
        <v>-</v>
      </c>
    </row>
    <row r="24" ht="15.75" customHeight="1">
      <c r="B24" s="14" t="s">
        <v>25</v>
      </c>
      <c r="C24" s="18" t="str">
        <f>'Mapa Financiero'!C34</f>
        <v>-</v>
      </c>
    </row>
    <row r="25" ht="15.75" customHeight="1">
      <c r="B25" s="14" t="s">
        <v>26</v>
      </c>
      <c r="C25" s="18" t="str">
        <f>'Mapa Financiero'!C35</f>
        <v>-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2:C2"/>
    <mergeCell ref="B4:C4"/>
    <mergeCell ref="B11:C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1.22" defaultRowHeight="15.0"/>
  <cols>
    <col customWidth="1" min="1" max="1" width="2.33"/>
    <col customWidth="1" min="2" max="2" width="20.22"/>
    <col customWidth="1" min="3" max="3" width="14.0"/>
    <col customWidth="1" min="4" max="5" width="12.44"/>
    <col customWidth="1" min="6" max="6" width="11.67"/>
    <col customWidth="1" min="7" max="7" width="13.22"/>
    <col customWidth="1" min="8" max="8" width="9.33"/>
    <col customWidth="1" min="9" max="9" width="11.67"/>
    <col customWidth="1" min="10" max="11" width="6.78"/>
  </cols>
  <sheetData>
    <row r="2" ht="27.75" customHeight="1">
      <c r="B2" s="23" t="s">
        <v>51</v>
      </c>
      <c r="C2" s="24"/>
      <c r="D2" s="24"/>
      <c r="E2" s="24"/>
      <c r="F2" s="24"/>
      <c r="G2" s="24"/>
      <c r="H2" s="24"/>
      <c r="I2" s="3"/>
    </row>
    <row r="3" ht="15.0" customHeight="1">
      <c r="B3" s="25" t="s">
        <v>52</v>
      </c>
      <c r="C3" s="26"/>
      <c r="D3" s="26"/>
      <c r="E3" s="26"/>
      <c r="F3" s="26"/>
      <c r="G3" s="26"/>
      <c r="H3" s="26"/>
      <c r="I3" s="7"/>
    </row>
    <row r="4">
      <c r="B4" s="8"/>
      <c r="I4" s="9"/>
    </row>
    <row r="5">
      <c r="B5" s="8"/>
      <c r="I5" s="9"/>
    </row>
    <row r="6">
      <c r="B6" s="10"/>
      <c r="C6" s="27"/>
      <c r="D6" s="27"/>
      <c r="E6" s="27"/>
      <c r="F6" s="27"/>
      <c r="G6" s="27"/>
      <c r="H6" s="27"/>
      <c r="I6" s="11"/>
    </row>
    <row r="8" ht="19.5" customHeight="1">
      <c r="B8" s="28" t="s">
        <v>53</v>
      </c>
      <c r="C8" s="24"/>
      <c r="D8" s="24"/>
      <c r="E8" s="24"/>
      <c r="F8" s="24"/>
      <c r="G8" s="24"/>
      <c r="H8" s="24"/>
      <c r="I8" s="3"/>
    </row>
    <row r="9" ht="30.0" customHeight="1">
      <c r="B9" s="29" t="s">
        <v>54</v>
      </c>
      <c r="C9" s="29" t="s">
        <v>55</v>
      </c>
      <c r="D9" s="29" t="s">
        <v>56</v>
      </c>
      <c r="E9" s="29" t="s">
        <v>57</v>
      </c>
      <c r="F9" s="29" t="s">
        <v>58</v>
      </c>
      <c r="G9" s="29" t="s">
        <v>59</v>
      </c>
      <c r="H9" s="29" t="s">
        <v>60</v>
      </c>
      <c r="I9" s="29" t="s">
        <v>61</v>
      </c>
    </row>
    <row r="10">
      <c r="B10" s="30" t="s">
        <v>62</v>
      </c>
      <c r="C10" s="31" t="s">
        <v>63</v>
      </c>
      <c r="D10" s="32">
        <v>250000.0</v>
      </c>
      <c r="E10" s="33">
        <v>140.0</v>
      </c>
      <c r="F10" s="32">
        <v>12500.0</v>
      </c>
      <c r="G10" s="32">
        <v>20000.0</v>
      </c>
      <c r="H10" s="34" t="str">
        <f t="shared" ref="H10:H16" si="1">IF(D10=0,"-",RANK(E10,$E$10:$E$16,0))</f>
        <v>1</v>
      </c>
      <c r="I10" s="31" t="str">
        <f t="shared" ref="I10:I16" si="2">IF(G10=0,"-",ROUNDUP(D10/G10,0))</f>
        <v>13</v>
      </c>
    </row>
    <row r="11">
      <c r="B11" s="30" t="s">
        <v>64</v>
      </c>
      <c r="C11" s="31" t="s">
        <v>63</v>
      </c>
      <c r="D11" s="32">
        <v>0.0</v>
      </c>
      <c r="E11" s="33">
        <v>140.0</v>
      </c>
      <c r="F11" s="32">
        <v>0.0</v>
      </c>
      <c r="G11" s="32">
        <v>0.0</v>
      </c>
      <c r="H11" s="34" t="str">
        <f t="shared" si="1"/>
        <v>-</v>
      </c>
      <c r="I11" s="31" t="str">
        <f t="shared" si="2"/>
        <v>-</v>
      </c>
    </row>
    <row r="12">
      <c r="B12" s="30" t="s">
        <v>65</v>
      </c>
      <c r="C12" s="31" t="s">
        <v>63</v>
      </c>
      <c r="D12" s="32">
        <v>0.0</v>
      </c>
      <c r="E12" s="33">
        <v>140.0</v>
      </c>
      <c r="F12" s="32">
        <v>0.0</v>
      </c>
      <c r="G12" s="32">
        <v>0.0</v>
      </c>
      <c r="H12" s="34" t="str">
        <f t="shared" si="1"/>
        <v>-</v>
      </c>
      <c r="I12" s="31" t="str">
        <f t="shared" si="2"/>
        <v>-</v>
      </c>
    </row>
    <row r="13">
      <c r="B13" s="30" t="s">
        <v>66</v>
      </c>
      <c r="C13" s="31" t="s">
        <v>67</v>
      </c>
      <c r="D13" s="32">
        <v>0.0</v>
      </c>
      <c r="E13" s="33">
        <v>80.0</v>
      </c>
      <c r="F13" s="32">
        <v>0.0</v>
      </c>
      <c r="G13" s="32">
        <v>0.0</v>
      </c>
      <c r="H13" s="34" t="str">
        <f t="shared" si="1"/>
        <v>-</v>
      </c>
      <c r="I13" s="31" t="str">
        <f t="shared" si="2"/>
        <v>-</v>
      </c>
    </row>
    <row r="14">
      <c r="B14" s="30" t="s">
        <v>68</v>
      </c>
      <c r="C14" s="31" t="s">
        <v>69</v>
      </c>
      <c r="D14" s="32">
        <v>0.0</v>
      </c>
      <c r="E14" s="33">
        <v>60.0</v>
      </c>
      <c r="F14" s="32">
        <v>0.0</v>
      </c>
      <c r="G14" s="32">
        <v>0.0</v>
      </c>
      <c r="H14" s="34" t="str">
        <f t="shared" si="1"/>
        <v>-</v>
      </c>
      <c r="I14" s="31" t="str">
        <f t="shared" si="2"/>
        <v>-</v>
      </c>
    </row>
    <row r="15">
      <c r="B15" s="30" t="s">
        <v>70</v>
      </c>
      <c r="C15" s="31" t="s">
        <v>71</v>
      </c>
      <c r="D15" s="32">
        <v>0.0</v>
      </c>
      <c r="E15" s="33">
        <v>0.0</v>
      </c>
      <c r="F15" s="32">
        <v>0.0</v>
      </c>
      <c r="G15" s="32">
        <v>0.0</v>
      </c>
      <c r="H15" s="34" t="str">
        <f t="shared" si="1"/>
        <v>-</v>
      </c>
      <c r="I15" s="31" t="str">
        <f t="shared" si="2"/>
        <v>-</v>
      </c>
    </row>
    <row r="16">
      <c r="B16" s="30" t="s">
        <v>72</v>
      </c>
      <c r="C16" s="31" t="s">
        <v>71</v>
      </c>
      <c r="D16" s="32">
        <v>0.0</v>
      </c>
      <c r="E16" s="33">
        <v>0.0</v>
      </c>
      <c r="F16" s="32">
        <v>0.0</v>
      </c>
      <c r="G16" s="32">
        <v>0.0</v>
      </c>
      <c r="H16" s="34" t="str">
        <f t="shared" si="1"/>
        <v>-</v>
      </c>
      <c r="I16" s="31" t="str">
        <f t="shared" si="2"/>
        <v>-</v>
      </c>
    </row>
    <row r="17">
      <c r="B17" s="35" t="s">
        <v>73</v>
      </c>
      <c r="C17" s="36"/>
      <c r="D17" s="37" t="str">
        <f>SUM(D10:D16)</f>
        <v>$ 250,000</v>
      </c>
      <c r="E17" s="38"/>
      <c r="F17" s="37" t="str">
        <f t="shared" ref="F17:G17" si="3">SUM(F10:F16)</f>
        <v>$ 12,500</v>
      </c>
      <c r="G17" s="37" t="str">
        <f t="shared" si="3"/>
        <v>$ 20,000</v>
      </c>
      <c r="H17" s="38"/>
      <c r="I17" s="38"/>
    </row>
    <row r="20" ht="19.5" customHeight="1">
      <c r="B20" s="28" t="s">
        <v>74</v>
      </c>
      <c r="C20" s="24"/>
      <c r="D20" s="24"/>
      <c r="E20" s="24"/>
      <c r="F20" s="24"/>
      <c r="G20" s="24"/>
      <c r="H20" s="24"/>
      <c r="I20" s="3"/>
    </row>
    <row r="21" ht="15.75" customHeight="1">
      <c r="B21" s="39" t="s">
        <v>75</v>
      </c>
      <c r="C21" s="40"/>
      <c r="D21" s="40"/>
      <c r="E21" s="40"/>
      <c r="F21" s="40"/>
      <c r="G21" s="41" t="str">
        <f>D17</f>
        <v>$ 250,000</v>
      </c>
      <c r="H21" s="40"/>
      <c r="I21" s="42"/>
    </row>
    <row r="22" ht="15.75" customHeight="1">
      <c r="B22" s="39" t="s">
        <v>76</v>
      </c>
      <c r="C22" s="40"/>
      <c r="D22" s="40"/>
      <c r="E22" s="40"/>
      <c r="F22" s="40"/>
      <c r="G22" s="41" t="str">
        <f>'Mapa Financiero'!C43</f>
        <v>$ 550,000</v>
      </c>
      <c r="H22" s="40"/>
      <c r="I22" s="42"/>
    </row>
    <row r="23" ht="15.75" customHeight="1">
      <c r="B23" s="39" t="s">
        <v>77</v>
      </c>
      <c r="C23" s="40"/>
      <c r="D23" s="40"/>
      <c r="E23" s="40"/>
      <c r="F23" s="40"/>
      <c r="G23" s="41" t="str">
        <f>G17</f>
        <v>$ 20,000</v>
      </c>
      <c r="H23" s="40"/>
      <c r="I23" s="42"/>
    </row>
    <row r="24" ht="15.75" customHeight="1">
      <c r="B24" s="39" t="s">
        <v>78</v>
      </c>
      <c r="C24" s="40"/>
      <c r="D24" s="40"/>
      <c r="E24" s="40"/>
      <c r="F24" s="40"/>
      <c r="G24" s="43" t="str">
        <f>IF(G22&gt;=G23,"✅ Sí, alcanza","⚠️ No alcanza, revisá gastos variables")</f>
        <v>✅ Sí, alcanza</v>
      </c>
      <c r="H24" s="40"/>
      <c r="I24" s="42"/>
    </row>
    <row r="25" ht="15.75" customHeight="1">
      <c r="B25" s="39" t="s">
        <v>79</v>
      </c>
      <c r="C25" s="40"/>
      <c r="D25" s="40"/>
      <c r="E25" s="40"/>
      <c r="F25" s="40"/>
      <c r="G25" s="44" t="str">
        <f>IF(G23=0,"-",ROUNDUP(D17/G23,0))</f>
        <v>13 meses</v>
      </c>
      <c r="H25" s="40"/>
      <c r="I25" s="42"/>
    </row>
    <row r="26" ht="15.75" customHeight="1">
      <c r="B26" s="39" t="s">
        <v>80</v>
      </c>
      <c r="C26" s="40"/>
      <c r="D26" s="40"/>
      <c r="E26" s="40"/>
      <c r="F26" s="40"/>
      <c r="G26" s="45" t="str">
        <f>IF(G25="-","-",EDATE(TODAY(),G25))</f>
        <v>September 2027</v>
      </c>
      <c r="H26" s="40"/>
      <c r="I26" s="42"/>
    </row>
    <row r="27" ht="15.75" customHeight="1"/>
    <row r="28" ht="15.0" customHeight="1">
      <c r="B28" s="46" t="s">
        <v>81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8">
    <mergeCell ref="B2:I2"/>
    <mergeCell ref="B3:I6"/>
    <mergeCell ref="B8:I8"/>
    <mergeCell ref="B17:C17"/>
    <mergeCell ref="B20:I20"/>
    <mergeCell ref="B21:F21"/>
    <mergeCell ref="G21:I21"/>
    <mergeCell ref="B25:F25"/>
    <mergeCell ref="B26:F26"/>
    <mergeCell ref="G26:I26"/>
    <mergeCell ref="B28:I28"/>
    <mergeCell ref="B22:F22"/>
    <mergeCell ref="G22:I22"/>
    <mergeCell ref="B23:F23"/>
    <mergeCell ref="G23:I23"/>
    <mergeCell ref="B24:F24"/>
    <mergeCell ref="G24:I24"/>
    <mergeCell ref="G25:I25"/>
  </mergeCells>
  <conditionalFormatting sqref="E10:E16">
    <cfRule type="cellIs" dxfId="0" priority="1" operator="greaterThanOrEqual">
      <formula>80</formula>
    </cfRule>
  </conditionalFormatting>
  <conditionalFormatting sqref="H10:H16">
    <cfRule type="expression" dxfId="1" priority="2">
      <formula>H10=1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2026-08-24T10:34:37Z</dcterms:created>
  <dc:creator>openpyxl</dc:creator>
  <dc:description/>
  <dc:language>en-US</dc:language>
  <cp:lastModifiedBy/>
  <dcterms:modified xsi:type="dcterms:W3CDTF">2026-08-24T10:34:43Z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